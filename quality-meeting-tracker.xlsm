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rmi\Documents\Billy\Coursera\Power Bi\Projects\Mejora de procesos mediente automatizacion\QUALITY MEETING\"/>
    </mc:Choice>
  </mc:AlternateContent>
  <xr:revisionPtr revIDLastSave="0" documentId="13_ncr:1_{EA7E8822-43C5-4CBD-96BE-10FEE71419B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Binnacle" sheetId="1" r:id="rId1"/>
    <sheet name="TTs data" sheetId="5" r:id="rId2"/>
  </sheets>
  <definedNames>
    <definedName name="_xlnm._FilterDatabase" localSheetId="0" hidden="1">Binnacle!$A$2:$I$9</definedName>
    <definedName name="Query_from_AR_System_ODBC_Data_Source" localSheetId="1" hidden="1">'TTs data'!$A$1:$H$24</definedName>
    <definedName name="Z_6E79835E_033C_429A_A385_D4F3850D9C29_.wvu.FilterData" localSheetId="0" hidden="1">Binnacle!$A$2:$I$2</definedName>
    <definedName name="Z_D18D2C59_15CE_4E20_ACF7_62C2BE742B87_.wvu.FilterData" localSheetId="0" hidden="1">Binnacle!$A$2:$I$2</definedName>
    <definedName name="Z_F45D6F32_61E5_4F15_821E_23C9F351E7AA_.wvu.FilterData" localSheetId="0" hidden="1">Binnacle!$A$2:$I$2</definedName>
  </definedNames>
  <calcPr calcId="191029"/>
  <customWorkbookViews>
    <customWorkbookView name="Santiago Corrales - Personal View" guid="{D18D2C59-15CE-4E20-ACF7-62C2BE742B87}" mergeInterval="0" personalView="1" maximized="1" xWindow="-8" yWindow="-8" windowWidth="1382" windowHeight="744" activeSheetId="1"/>
    <customWorkbookView name="oteceladm - Vista personalizada" guid="{B0409E6C-225B-433E-B80D-12C9CF342118}" mergeInterval="0" personalView="1" maximized="1" xWindow="-8" yWindow="-8" windowWidth="1382" windowHeight="744" activeSheetId="2"/>
    <customWorkbookView name="Victor Flores - Personal View" guid="{BA110196-2D22-49F3-9E29-F3206860DAD7}" mergeInterval="0" personalView="1" maximized="1" xWindow="-8" yWindow="-8" windowWidth="1382" windowHeight="744" activeSheetId="2"/>
    <customWorkbookView name="Kenji Wakao - Personal View" guid="{689012B3-C52F-42D6-A62F-DAF851B26AE9}" mergeInterval="0" personalView="1" maximized="1" xWindow="-8" yWindow="-8" windowWidth="1382" windowHeight="744" activeSheetId="2"/>
    <customWorkbookView name="ARAUJO MARIA (HUAWEI) - Vista personalizada" guid="{C930664D-A36D-499A-8590-F2420D1931D1}" mergeInterval="0" personalView="1" maximized="1" xWindow="-8" yWindow="-8" windowWidth="1616" windowHeight="876" activeSheetId="3"/>
    <customWorkbookView name="Rodriguez Ulcuango Edison Geovanny - Vista personalizada" guid="{DED60212-8B91-430A-B66A-BC1C15C7A2B2}" mergeInterval="0" personalView="1" maximized="1" xWindow="-8" yWindow="-8" windowWidth="1382" windowHeight="744" activeSheetId="3"/>
    <customWorkbookView name="Iniguez Andrea (HUAWEI) - Vista personalizada" guid="{280FB61B-9817-49A2-A7DC-EB1DAC942958}" mergeInterval="0" personalView="1" maximized="1" windowWidth="1362" windowHeight="543" activeSheetId="3"/>
    <customWorkbookView name="Edwin - Personal View" guid="{653118D2-EB7F-4931-9664-90746FBED538}" mergeInterval="0" personalView="1" maximized="1" xWindow="-8" yWindow="-8" windowWidth="1382" windowHeight="744" activeSheetId="5"/>
    <customWorkbookView name="Boris  Yepez - Vista personalizada" guid="{8DF080E6-24D4-4DC7-83F9-AC2E81EBEAA5}" mergeInterval="0" personalView="1" maximized="1" xWindow="-8" yWindow="-8" windowWidth="1382" windowHeight="744" activeSheetId="2"/>
    <customWorkbookView name="Christian Lopez - Vista personalizada" guid="{242843C9-A730-471E-8EFB-A960D6FD35BD}" mergeInterval="0" personalView="1" maximized="1" xWindow="-8" yWindow="-8" windowWidth="1382" windowHeight="744" activeSheetId="2"/>
    <customWorkbookView name="Inuca Cyntia (HUAWEI) - Vista personalizada" guid="{CE24219D-992F-42E6-B722-463D1655F4C8}" mergeInterval="0" personalView="1" maximized="1" xWindow="1592" yWindow="-8" windowWidth="1616" windowHeight="916" activeSheetId="3"/>
    <customWorkbookView name="Maria Romo - Vista personalizada" guid="{04C0A92A-5056-46C5-9477-42F63280A7D0}" mergeInterval="0" personalView="1" maximized="1" xWindow="-8" yWindow="-8" windowWidth="1616" windowHeight="876" activeSheetId="2"/>
    <customWorkbookView name="oteceladm - Personal View" guid="{F45D6F32-61E5-4F15-821E-23C9F351E7A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3000000}" name="Query from BDTTS" type="1" refreshedVersion="5" savePassword="1" background="1" saveData="1">
    <dbPr connection="DSN=AR System ODBC Data Source 2;ARServer=10.1.2.5;ARServerPort=48000;UID=DB_TTS_ODBC;PWD=PASS;ARAuthentication=;ARNameReplace=1;SERVER=NotTheServer" command="SELECT &quot;TTS:Help Desk&quot;.Description, &quot;TTS:Help Desk&quot;.Assignee, &quot;TTS:Help Desk&quot;.&quot;Assigned Group&quot;, &quot;TTS:Help Desk&quot;.&quot;Incident Number&quot;, &quot;TTS:Help Desk&quot;.&quot;Submit Date&quot;, &quot;TTS:Help Desk&quot;.Status, &quot;TTS:Help Desk&quot;.Urgency, &quot;TTS:Help Desk&quot;.&quot;Categorization Tier 1&quot;FROM &quot;TTS:Help Desk&quot; &quot;TTS:Help Desk&quot;_x000d__x000a_WHERE (&quot;TTS:Help Desk&quot;.Status='Assigned') AND (&quot;TTS:Help Desk&quot;.Urgency='1-Critical') AND (&quot;TTS:Help Desk&quot;.&quot;Categorization Tier 1&quot;='DEGRADACION DE CALIDAD') OR (&quot;TTS:Help Desk&quot;.Status='In Progress') AND (&quot;TTS:Help Desk&quot;.Urgency='1-Critical') AND (&quot;TTS:Help Desk&quot;.&quot;Categorization Tier 1&quot;='DEGRADACION DE CALIDAD') OR (&quot;TTS:Help Desk&quot;.Status='Pending') AND (&quot;TTS:Help Desk&quot;.Urgency='1-Critical') AND (&quot;TTS:Help Desk&quot;.&quot;Categorization Tier 1&quot;='DEGRADACION DE CALIDAD')_x000d__x000a_ORDER BY &quot;TTS:Help Desk&quot;.&quot;Incident Number&quot;"/>
  </connection>
</connections>
</file>

<file path=xl/sharedStrings.xml><?xml version="1.0" encoding="utf-8"?>
<sst xmlns="http://schemas.openxmlformats.org/spreadsheetml/2006/main" count="228" uniqueCount="105">
  <si>
    <t>Zona</t>
  </si>
  <si>
    <t>F Inicio</t>
  </si>
  <si>
    <t>Status</t>
  </si>
  <si>
    <t>Seguimiento</t>
  </si>
  <si>
    <t>Abierto</t>
  </si>
  <si>
    <t>F Cierre</t>
  </si>
  <si>
    <t>Duración (Dias)</t>
  </si>
  <si>
    <t>Incident Number</t>
  </si>
  <si>
    <t>Description</t>
  </si>
  <si>
    <t>Categorization Tier 1</t>
  </si>
  <si>
    <t>Assignee</t>
  </si>
  <si>
    <t>Assigned</t>
  </si>
  <si>
    <t>Assigned Group</t>
  </si>
  <si>
    <t>Submit Date</t>
  </si>
  <si>
    <t>Urgency</t>
  </si>
  <si>
    <t>1-Critical</t>
  </si>
  <si>
    <t>Descripción</t>
  </si>
  <si>
    <t>DEGRADACION DE CALIDAD</t>
  </si>
  <si>
    <t>In Progress</t>
  </si>
  <si>
    <t>Pending</t>
  </si>
  <si>
    <t>Responsable
Area</t>
  </si>
  <si>
    <t>TT</t>
  </si>
  <si>
    <t>NOC</t>
  </si>
  <si>
    <t>Cerrado</t>
  </si>
  <si>
    <t>08.02.2023 [IS] escalado a O&amp;M, [AC] búsqueda del proveedor, fecha por definir
01.02.2023 [IS] en revisión, NOC IAQ</t>
  </si>
  <si>
    <t>03.05.2023 [AM] escalado a Arcotel, pendiente respuesta</t>
  </si>
  <si>
    <t>03.05.2023 [AM] pendiente búsqueda, fecha por definir</t>
  </si>
  <si>
    <t>03.05.2023 [AM] en revisión
03.05.2023 [KC] escalado a O&amp;M</t>
  </si>
  <si>
    <t>03.05.2023 [IS] revisión de intermodulación</t>
  </si>
  <si>
    <t>03.05.2023 [IS] en revisión NOC IAQ</t>
  </si>
  <si>
    <t>FLM</t>
  </si>
  <si>
    <t>Optimization</t>
  </si>
  <si>
    <t>O&amp;M Tx</t>
  </si>
  <si>
    <t>EEBB 1
Degradación RTWP</t>
  </si>
  <si>
    <t>EEBB 2
Degradación RTWP</t>
  </si>
  <si>
    <t>EEBB 3
Degradación RTWP</t>
  </si>
  <si>
    <t>EEBB 4
Degradación RTWP</t>
  </si>
  <si>
    <t>EEBB 5
Degradación RTWP</t>
  </si>
  <si>
    <t>EEBB 6
Degradación D4G Tx</t>
  </si>
  <si>
    <t>EEBB 7
Degradación D4G FALLAS S1</t>
  </si>
  <si>
    <t>City1</t>
  </si>
  <si>
    <t>City2</t>
  </si>
  <si>
    <t>City3</t>
  </si>
  <si>
    <t>City4</t>
  </si>
  <si>
    <t>City5</t>
  </si>
  <si>
    <t>City6</t>
  </si>
  <si>
    <t>City7</t>
  </si>
  <si>
    <t>Employee1</t>
  </si>
  <si>
    <t>Employee2</t>
  </si>
  <si>
    <t>Employee3</t>
  </si>
  <si>
    <t>Employee4</t>
  </si>
  <si>
    <t>Employee5</t>
  </si>
  <si>
    <t>Employee6</t>
  </si>
  <si>
    <t>Employee7</t>
  </si>
  <si>
    <t>INC000000000001</t>
  </si>
  <si>
    <t>INC000000000002</t>
  </si>
  <si>
    <t>INC000000000003</t>
  </si>
  <si>
    <t>INC000000000004</t>
  </si>
  <si>
    <t>INC000000000005</t>
  </si>
  <si>
    <t>INC000000000006</t>
  </si>
  <si>
    <t>INC000000000007</t>
  </si>
  <si>
    <t>INC000000000008</t>
  </si>
  <si>
    <t>INC000000000009</t>
  </si>
  <si>
    <t>INC000000000010</t>
  </si>
  <si>
    <t>INC000000000011</t>
  </si>
  <si>
    <t>INC000000000012</t>
  </si>
  <si>
    <t>INC000000000013</t>
  </si>
  <si>
    <t>INC000000000014</t>
  </si>
  <si>
    <t>INC000000000015</t>
  </si>
  <si>
    <t>INC000000000016</t>
  </si>
  <si>
    <t>INC000000000017</t>
  </si>
  <si>
    <t>INC000000000018</t>
  </si>
  <si>
    <t>INC000000000019</t>
  </si>
  <si>
    <t>INC000000000020</t>
  </si>
  <si>
    <t>INC000000000021</t>
  </si>
  <si>
    <t>INC000000000022</t>
  </si>
  <si>
    <t>INC000000000023</t>
  </si>
  <si>
    <t>Employee8</t>
  </si>
  <si>
    <t>Employee9</t>
  </si>
  <si>
    <t>Employee10</t>
  </si>
  <si>
    <t>Employee11</t>
  </si>
  <si>
    <t>Employee12</t>
  </si>
  <si>
    <t>Employee13</t>
  </si>
  <si>
    <t>Employee14</t>
  </si>
  <si>
    <t>Employee15</t>
  </si>
  <si>
    <t>Employee16</t>
  </si>
  <si>
    <t>Employee17</t>
  </si>
  <si>
    <t>Employee18</t>
  </si>
  <si>
    <t>Employee19</t>
  </si>
  <si>
    <t>Employee20</t>
  </si>
  <si>
    <t>Employee21</t>
  </si>
  <si>
    <t>Employee22</t>
  </si>
  <si>
    <t>Employee23</t>
  </si>
  <si>
    <t>Problema de calidad en Datos 4G. EEBB2 - NSN_D4G</t>
  </si>
  <si>
    <t xml:space="preserve"> [Tk automático-rtwp]: EEBB6 NSN_D3G</t>
  </si>
  <si>
    <t xml:space="preserve"> [TIN-Tk automático-rtwp]: EEBB1 ERI_D3G</t>
  </si>
  <si>
    <t>Problema de calidad en Voz 3G. EEBB3 - ERI_V3G</t>
  </si>
  <si>
    <t xml:space="preserve"> [Tk automático-rtwp]: EEBB4 ERI_D3G</t>
  </si>
  <si>
    <t xml:space="preserve"> [TIN-Tk automático-rtwp]: EEBB5 ERI_D3G</t>
  </si>
  <si>
    <t xml:space="preserve"> [Tk automático-rtwp]: EEBB5 ERI_D3G</t>
  </si>
  <si>
    <t>01/05/2026</t>
  </si>
  <si>
    <t>08/02/2026</t>
  </si>
  <si>
    <t>03/05/2026</t>
  </si>
  <si>
    <t>01/02/2026</t>
  </si>
  <si>
    <t>02/05/2026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</si>
</sst>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0"/>
      <color rgb="FF000000"/>
      <name val="Segoe UI Symbol"/>
      <family val="2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 applyAlignment="1">
      <alignment vertical="center" wrapText="1"/>
    </xf>
    <xf numFmtId="49" fontId="0" fillId="0" borderId="1" xfId="0" applyNumberFormat="1" applyBorder="1" applyAlignment="1">
      <alignment horizontal="right" vertical="center" wrapText="1"/>
    </xf>
    <xf numFmtId="0" fontId="1" fillId="0" borderId="1" xfId="0" applyFont="1" applyBorder="1" applyAlignment="1">
      <alignment horizontal="center" vertical="center" wrapText="1"/>
    </xf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1" fontId="0" fillId="0" borderId="1" xfId="0" applyNumberFormat="1" applyBorder="1" applyAlignment="1">
      <alignment horizontal="center" vertical="center" wrapText="1"/>
    </xf>
    <xf numFmtId="2" fontId="0" fillId="0" borderId="0" xfId="0" applyNumberFormat="1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left" vertical="top"/>
    </xf>
    <xf numFmtId="14" fontId="0" fillId="0" borderId="0" xfId="0" applyNumberFormat="1" applyAlignment="1">
      <alignment wrapText="1"/>
    </xf>
    <xf numFmtId="0" fontId="0" fillId="2" borderId="1" xfId="0" applyFill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3" fillId="0" borderId="1" xfId="0" applyFont="1" applyBorder="1" applyAlignment="1">
      <alignment vertical="center" wrapText="1"/>
    </xf>
  </cellXfs>
  <cellStyles count="1">
    <cellStyle name="Normal" xfId="0" builtinId="0"/>
  </cellStyles>
  <dxfs count="13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</font>
      <numFmt numFmtId="164" formatCode="d/m/yyyy\ h:mm"/>
      <fill>
        <patternFill patternType="none">
          <fgColor indexed="64"/>
          <bgColor indexed="65"/>
        </patternFill>
      </fill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D1FFD1"/>
      <color rgb="FFFFFFC9"/>
      <color rgb="FFFFFFCC"/>
      <color rgb="FFFFFFB3"/>
      <color rgb="FFEF9889"/>
      <color rgb="FFFFF5CD"/>
      <color rgb="FFFFFF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1724025</xdr:colOff>
          <xdr:row>0</xdr:row>
          <xdr:rowOff>0</xdr:rowOff>
        </xdr:from>
        <xdr:to>
          <xdr:col>1</xdr:col>
          <xdr:colOff>1076325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Seguimiento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0</xdr:row>
          <xdr:rowOff>0</xdr:rowOff>
        </xdr:from>
        <xdr:to>
          <xdr:col>0</xdr:col>
          <xdr:colOff>1323975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4953000</xdr:colOff>
          <xdr:row>0</xdr:row>
          <xdr:rowOff>9525</xdr:rowOff>
        </xdr:from>
        <xdr:to>
          <xdr:col>8</xdr:col>
          <xdr:colOff>5886450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1428750</xdr:colOff>
          <xdr:row>0</xdr:row>
          <xdr:rowOff>0</xdr:rowOff>
        </xdr:from>
        <xdr:to>
          <xdr:col>3</xdr:col>
          <xdr:colOff>1076325</xdr:colOff>
          <xdr:row>0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Cerrar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2752725</xdr:colOff>
          <xdr:row>0</xdr:row>
          <xdr:rowOff>19050</xdr:rowOff>
        </xdr:from>
        <xdr:to>
          <xdr:col>8</xdr:col>
          <xdr:colOff>3686175</xdr:colOff>
          <xdr:row>0</xdr:row>
          <xdr:rowOff>200025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TT abiertos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838200</xdr:colOff>
          <xdr:row>0</xdr:row>
          <xdr:rowOff>0</xdr:rowOff>
        </xdr:from>
        <xdr:to>
          <xdr:col>8</xdr:col>
          <xdr:colOff>1771650</xdr:colOff>
          <xdr:row>0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Ordenat TT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AR System ODBC Data Source" connectionId="1" xr16:uid="{00000000-0016-0000-0200-000001000000}" autoFormatId="16" applyNumberFormats="0" applyBorderFormats="0" applyFontFormats="0" applyPatternFormats="0" applyAlignmentFormats="0" applyWidthHeightFormats="0">
  <queryTableRefresh nextId="9">
    <queryTableFields count="8">
      <queryTableField id="1" name="Description" tableColumnId="1"/>
      <queryTableField id="2" name="Assignee" tableColumnId="2"/>
      <queryTableField id="3" name="Assigned Group" tableColumnId="3"/>
      <queryTableField id="4" name="Incident Number" tableColumnId="4"/>
      <queryTableField id="5" name="Submit Date" tableColumnId="5"/>
      <queryTableField id="6" name="Status" tableColumnId="6"/>
      <queryTableField id="7" name="Urgency" tableColumnId="7"/>
      <queryTableField id="8" name="Categorization Tier 1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_Query_from_AR_System_ODBC_Data_Source42" displayName="Table_Query_from_AR_System_ODBC_Data_Source42" ref="A1:H24" tableType="queryTable" totalsRowShown="0" headerRowDxfId="12" dataDxfId="11">
  <sortState xmlns:xlrd2="http://schemas.microsoft.com/office/spreadsheetml/2017/richdata2" ref="A2:H24">
    <sortCondition ref="D1:D28"/>
  </sortState>
  <tableColumns count="8">
    <tableColumn id="1" xr3:uid="{00000000-0010-0000-0100-000001000000}" uniqueName="1" name="Description" queryTableFieldId="1" dataDxfId="10"/>
    <tableColumn id="2" xr3:uid="{00000000-0010-0000-0100-000002000000}" uniqueName="2" name="Assignee" queryTableFieldId="2" dataDxfId="9"/>
    <tableColumn id="3" xr3:uid="{00000000-0010-0000-0100-000003000000}" uniqueName="3" name="Assigned Group" queryTableFieldId="3" dataDxfId="8"/>
    <tableColumn id="4" xr3:uid="{00000000-0010-0000-0100-000004000000}" uniqueName="4" name="Incident Number" queryTableFieldId="4" dataDxfId="7"/>
    <tableColumn id="5" xr3:uid="{00000000-0010-0000-0100-000005000000}" uniqueName="5" name="Submit Date" queryTableFieldId="5" dataDxfId="6"/>
    <tableColumn id="6" xr3:uid="{00000000-0010-0000-0100-000006000000}" uniqueName="6" name="Status" queryTableFieldId="6" dataDxfId="5"/>
    <tableColumn id="7" xr3:uid="{00000000-0010-0000-0100-000007000000}" uniqueName="7" name="Urgency" queryTableFieldId="7" dataDxfId="4"/>
    <tableColumn id="8" xr3:uid="{00000000-0010-0000-0100-000008000000}" uniqueName="8" name="Categorization Tier 1" queryTableFieldId="8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I9"/>
  <sheetViews>
    <sheetView tabSelected="1" zoomScale="80" zoomScaleNormal="8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"/>
    </sheetView>
  </sheetViews>
  <sheetFormatPr defaultColWidth="9.140625" defaultRowHeight="15" x14ac:dyDescent="0.25"/>
  <cols>
    <col min="1" max="1" width="25.85546875" style="6" customWidth="1"/>
    <col min="2" max="2" width="16.28515625" style="5" customWidth="1"/>
    <col min="3" max="3" width="21.42578125" style="5" customWidth="1"/>
    <col min="4" max="4" width="18.85546875" style="5" customWidth="1"/>
    <col min="5" max="6" width="13.7109375" style="5" customWidth="1"/>
    <col min="7" max="7" width="12.42578125" style="10" customWidth="1"/>
    <col min="8" max="8" width="10" style="5" customWidth="1"/>
    <col min="9" max="9" width="89.5703125" style="5" customWidth="1"/>
    <col min="10" max="16384" width="9.140625" style="5"/>
  </cols>
  <sheetData>
    <row r="1" spans="1:9" ht="26.25" customHeight="1" x14ac:dyDescent="0.25">
      <c r="F1" s="13"/>
      <c r="I1" s="1"/>
    </row>
    <row r="2" spans="1:9" s="8" customFormat="1" ht="28.5" x14ac:dyDescent="0.25">
      <c r="A2" s="1" t="s">
        <v>16</v>
      </c>
      <c r="B2" s="7" t="s">
        <v>0</v>
      </c>
      <c r="C2" s="3" t="s">
        <v>20</v>
      </c>
      <c r="D2" s="3" t="s">
        <v>21</v>
      </c>
      <c r="E2" s="3" t="s">
        <v>1</v>
      </c>
      <c r="F2" s="3" t="s">
        <v>5</v>
      </c>
      <c r="G2" s="3" t="s">
        <v>6</v>
      </c>
      <c r="H2" s="3" t="s">
        <v>2</v>
      </c>
      <c r="I2" s="16" t="s">
        <v>3</v>
      </c>
    </row>
    <row r="3" spans="1:9" ht="60" customHeight="1" x14ac:dyDescent="0.25">
      <c r="A3" s="1" t="s">
        <v>33</v>
      </c>
      <c r="B3" s="1" t="s">
        <v>40</v>
      </c>
      <c r="C3" s="1" t="s">
        <v>47</v>
      </c>
      <c r="D3" s="1" t="s">
        <v>54</v>
      </c>
      <c r="E3" s="2" t="s">
        <v>103</v>
      </c>
      <c r="F3" s="2" t="s">
        <v>101</v>
      </c>
      <c r="G3" s="9">
        <f t="shared" ref="G3" ca="1" si="0">IF(F3="",NOW()-E3,(F3-E3))</f>
        <v>212</v>
      </c>
      <c r="H3" s="1" t="s">
        <v>23</v>
      </c>
      <c r="I3" s="14" t="s">
        <v>24</v>
      </c>
    </row>
    <row r="4" spans="1:9" ht="30" x14ac:dyDescent="0.25">
      <c r="A4" s="1" t="s">
        <v>34</v>
      </c>
      <c r="B4" s="1" t="s">
        <v>41</v>
      </c>
      <c r="C4" s="1" t="s">
        <v>48</v>
      </c>
      <c r="D4" s="1" t="s">
        <v>55</v>
      </c>
      <c r="E4" s="2" t="s">
        <v>100</v>
      </c>
      <c r="F4" s="2"/>
      <c r="G4" s="9">
        <f t="shared" ref="G4:G9" ca="1" si="1">IF(F4="",NOW()-E4,(F4-E4))</f>
        <v>276.90563761573867</v>
      </c>
      <c r="H4" s="1" t="s">
        <v>4</v>
      </c>
      <c r="I4" s="15" t="s">
        <v>26</v>
      </c>
    </row>
    <row r="5" spans="1:9" ht="30" x14ac:dyDescent="0.25">
      <c r="A5" s="1" t="s">
        <v>35</v>
      </c>
      <c r="B5" s="1" t="s">
        <v>42</v>
      </c>
      <c r="C5" s="1" t="s">
        <v>49</v>
      </c>
      <c r="D5" s="1" t="s">
        <v>56</v>
      </c>
      <c r="E5" s="2" t="s">
        <v>100</v>
      </c>
      <c r="F5" s="2"/>
      <c r="G5" s="9">
        <f t="shared" ca="1" si="1"/>
        <v>276.90563761573867</v>
      </c>
      <c r="H5" s="1" t="s">
        <v>4</v>
      </c>
      <c r="I5" s="15" t="s">
        <v>25</v>
      </c>
    </row>
    <row r="6" spans="1:9" ht="30" x14ac:dyDescent="0.25">
      <c r="A6" s="1" t="s">
        <v>36</v>
      </c>
      <c r="B6" s="1" t="s">
        <v>43</v>
      </c>
      <c r="C6" s="1" t="s">
        <v>50</v>
      </c>
      <c r="D6" s="1" t="s">
        <v>57</v>
      </c>
      <c r="E6" s="2" t="s">
        <v>104</v>
      </c>
      <c r="F6" s="2"/>
      <c r="G6" s="9">
        <f t="shared" ca="1" si="1"/>
        <v>245.90563761573867</v>
      </c>
      <c r="H6" s="1" t="s">
        <v>4</v>
      </c>
      <c r="I6" s="15" t="s">
        <v>27</v>
      </c>
    </row>
    <row r="7" spans="1:9" ht="30" x14ac:dyDescent="0.25">
      <c r="A7" s="1" t="s">
        <v>37</v>
      </c>
      <c r="B7" s="1" t="s">
        <v>44</v>
      </c>
      <c r="C7" s="1" t="s">
        <v>51</v>
      </c>
      <c r="D7" s="1" t="s">
        <v>58</v>
      </c>
      <c r="E7" s="2" t="s">
        <v>102</v>
      </c>
      <c r="F7" s="2"/>
      <c r="G7" s="9">
        <f t="shared" ca="1" si="1"/>
        <v>217.90563761573867</v>
      </c>
      <c r="H7" s="1" t="s">
        <v>4</v>
      </c>
      <c r="I7" s="15" t="s">
        <v>28</v>
      </c>
    </row>
    <row r="8" spans="1:9" ht="30" x14ac:dyDescent="0.25">
      <c r="A8" s="1" t="s">
        <v>38</v>
      </c>
      <c r="B8" s="1" t="s">
        <v>45</v>
      </c>
      <c r="C8" s="1" t="s">
        <v>52</v>
      </c>
      <c r="D8" s="1" t="s">
        <v>59</v>
      </c>
      <c r="E8" s="2" t="s">
        <v>102</v>
      </c>
      <c r="F8" s="2"/>
      <c r="G8" s="9">
        <f t="shared" ca="1" si="1"/>
        <v>217.90563761573867</v>
      </c>
      <c r="H8" s="1" t="s">
        <v>4</v>
      </c>
      <c r="I8" s="15" t="s">
        <v>29</v>
      </c>
    </row>
    <row r="9" spans="1:9" ht="49.5" customHeight="1" x14ac:dyDescent="0.25">
      <c r="A9" s="1" t="s">
        <v>39</v>
      </c>
      <c r="B9" s="1" t="s">
        <v>46</v>
      </c>
      <c r="C9" s="1" t="s">
        <v>53</v>
      </c>
      <c r="D9" s="1" t="s">
        <v>60</v>
      </c>
      <c r="E9" s="2" t="s">
        <v>102</v>
      </c>
      <c r="F9" s="2"/>
      <c r="G9" s="9">
        <f t="shared" ca="1" si="1"/>
        <v>217.90563761573867</v>
      </c>
      <c r="H9" s="1" t="s">
        <v>4</v>
      </c>
      <c r="I9" s="15" t="s">
        <v>29</v>
      </c>
    </row>
  </sheetData>
  <sortState xmlns:xlrd2="http://schemas.microsoft.com/office/spreadsheetml/2017/richdata2" ref="A3:I9">
    <sortCondition ref="D3:D9"/>
  </sortState>
  <customSheetViews>
    <customSheetView guid="{D18D2C59-15CE-4E20-ACF7-62C2BE742B87}" scale="65" filter="1" showAutoFilter="1" topLeftCell="A2">
      <selection activeCell="A2" sqref="A2"/>
      <pageMargins left="0.7" right="0.7" top="0.75" bottom="0.75" header="0.3" footer="0.3"/>
      <autoFilter ref="A2:I84" xr:uid="{8B63ABCA-F5A2-466E-86C2-13A8E40713E8}">
        <filterColumn colId="7">
          <filters>
            <filter val="Abierto"/>
          </filters>
        </filterColumn>
      </autoFilter>
    </customSheetView>
    <customSheetView guid="{F45D6F32-61E5-4F15-821E-23C9F351E7AA}" scale="85">
      <pane ySplit="2" topLeftCell="A78" activePane="bottomLeft" state="frozen"/>
      <selection pane="bottomLeft" activeCell="A82" sqref="A82"/>
      <pageMargins left="0.7" right="0.7" top="0.75" bottom="0.75" header="0.3" footer="0.3"/>
      <pageSetup paperSize="9" orientation="portrait" r:id="rId1"/>
    </customSheetView>
  </customSheetViews>
  <phoneticPr fontId="5" type="noConversion"/>
  <conditionalFormatting sqref="D1:D9">
    <cfRule type="containsText" dxfId="2" priority="160" operator="containsText" text="Alto">
      <formula>NOT(ISERROR(SEARCH("Alto",D1)))</formula>
    </cfRule>
    <cfRule type="containsText" dxfId="1" priority="161" operator="containsText" text="Medio">
      <formula>NOT(ISERROR(SEARCH("Medio",D1)))</formula>
    </cfRule>
    <cfRule type="containsText" dxfId="0" priority="162" operator="containsText" text="Bajo">
      <formula>NOT(ISERROR(SEARCH("Bajo",D1)))</formula>
    </cfRule>
  </conditionalFormatting>
  <pageMargins left="0.7" right="0.7" top="0.75" bottom="0.75" header="0.3" footer="0.3"/>
  <pageSetup paperSize="9" orientation="portrait" r:id="rId2"/>
  <headerFooter>
    <oddFooter>&amp;L&amp;1#&amp;"Arial"&amp;7&amp;K000000***Este documento está clasificado como PUBLICO por TELEFÓNICA. ***This document is classified as PUBLIC by TELEFÓNICA.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0</xdr:col>
                    <xdr:colOff>1724025</xdr:colOff>
                    <xdr:row>0</xdr:row>
                    <xdr:rowOff>0</xdr:rowOff>
                  </from>
                  <to>
                    <xdr:col>1</xdr:col>
                    <xdr:colOff>1076325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Macro2">
                <anchor moveWithCells="1" sizeWithCells="1">
                  <from>
                    <xdr:col>0</xdr:col>
                    <xdr:colOff>247650</xdr:colOff>
                    <xdr:row>0</xdr:row>
                    <xdr:rowOff>0</xdr:rowOff>
                  </from>
                  <to>
                    <xdr:col>0</xdr:col>
                    <xdr:colOff>1323975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Macro3">
                <anchor moveWithCells="1" sizeWithCells="1">
                  <from>
                    <xdr:col>8</xdr:col>
                    <xdr:colOff>4953000</xdr:colOff>
                    <xdr:row>0</xdr:row>
                    <xdr:rowOff>9525</xdr:rowOff>
                  </from>
                  <to>
                    <xdr:col>8</xdr:col>
                    <xdr:colOff>5886450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Macro4">
                <anchor moveWithCells="1" sizeWithCells="1">
                  <from>
                    <xdr:col>2</xdr:col>
                    <xdr:colOff>1428750</xdr:colOff>
                    <xdr:row>0</xdr:row>
                    <xdr:rowOff>0</xdr:rowOff>
                  </from>
                  <to>
                    <xdr:col>3</xdr:col>
                    <xdr:colOff>1076325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Macro6">
                <anchor moveWithCells="1" sizeWithCells="1">
                  <from>
                    <xdr:col>8</xdr:col>
                    <xdr:colOff>838200</xdr:colOff>
                    <xdr:row>0</xdr:row>
                    <xdr:rowOff>0</xdr:rowOff>
                  </from>
                  <to>
                    <xdr:col>8</xdr:col>
                    <xdr:colOff>1771650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Macro9">
                <anchor moveWithCells="1" sizeWithCells="1">
                  <from>
                    <xdr:col>8</xdr:col>
                    <xdr:colOff>2752725</xdr:colOff>
                    <xdr:row>0</xdr:row>
                    <xdr:rowOff>19050</xdr:rowOff>
                  </from>
                  <to>
                    <xdr:col>8</xdr:col>
                    <xdr:colOff>3686175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I24"/>
  <sheetViews>
    <sheetView zoomScale="80" zoomScaleNormal="80" workbookViewId="0">
      <selection activeCell="A8" sqref="A8"/>
    </sheetView>
  </sheetViews>
  <sheetFormatPr defaultColWidth="19.85546875" defaultRowHeight="15" x14ac:dyDescent="0.25"/>
  <cols>
    <col min="1" max="1" width="81.140625" customWidth="1"/>
    <col min="2" max="2" width="29.85546875" customWidth="1"/>
    <col min="3" max="3" width="23.5703125" customWidth="1"/>
    <col min="4" max="4" width="17.42578125" customWidth="1"/>
    <col min="5" max="5" width="17" customWidth="1"/>
    <col min="6" max="6" width="12" customWidth="1"/>
    <col min="7" max="7" width="9.85546875" customWidth="1"/>
    <col min="8" max="8" width="27" style="11" customWidth="1"/>
  </cols>
  <sheetData>
    <row r="1" spans="1:8" x14ac:dyDescent="0.25">
      <c r="A1" s="12" t="s">
        <v>8</v>
      </c>
      <c r="B1" s="12" t="s">
        <v>10</v>
      </c>
      <c r="C1" s="12" t="s">
        <v>12</v>
      </c>
      <c r="D1" s="12" t="s">
        <v>7</v>
      </c>
      <c r="E1" s="12" t="s">
        <v>13</v>
      </c>
      <c r="F1" s="12" t="s">
        <v>2</v>
      </c>
      <c r="G1" s="12" t="s">
        <v>14</v>
      </c>
      <c r="H1" s="12" t="s">
        <v>9</v>
      </c>
    </row>
    <row r="2" spans="1:8" x14ac:dyDescent="0.25">
      <c r="A2" t="s">
        <v>95</v>
      </c>
      <c r="B2" t="s">
        <v>47</v>
      </c>
      <c r="C2" t="s">
        <v>32</v>
      </c>
      <c r="D2" t="s">
        <v>54</v>
      </c>
      <c r="E2" s="4">
        <v>44149.787291666667</v>
      </c>
      <c r="F2" t="s">
        <v>11</v>
      </c>
      <c r="G2" t="s">
        <v>15</v>
      </c>
      <c r="H2" s="11" t="s">
        <v>17</v>
      </c>
    </row>
    <row r="3" spans="1:8" x14ac:dyDescent="0.25">
      <c r="A3" t="s">
        <v>93</v>
      </c>
      <c r="B3" t="s">
        <v>48</v>
      </c>
      <c r="C3" t="s">
        <v>32</v>
      </c>
      <c r="D3" t="s">
        <v>55</v>
      </c>
      <c r="E3" s="4">
        <v>44319.836504629631</v>
      </c>
      <c r="F3" t="s">
        <v>11</v>
      </c>
      <c r="G3" t="s">
        <v>15</v>
      </c>
      <c r="H3" s="11" t="s">
        <v>17</v>
      </c>
    </row>
    <row r="4" spans="1:8" x14ac:dyDescent="0.25">
      <c r="A4" t="s">
        <v>96</v>
      </c>
      <c r="B4" t="s">
        <v>49</v>
      </c>
      <c r="C4" t="s">
        <v>32</v>
      </c>
      <c r="D4" t="s">
        <v>56</v>
      </c>
      <c r="E4" s="4">
        <v>44385.007430555554</v>
      </c>
      <c r="F4" t="s">
        <v>11</v>
      </c>
      <c r="G4" t="s">
        <v>15</v>
      </c>
      <c r="H4" s="11" t="s">
        <v>17</v>
      </c>
    </row>
    <row r="5" spans="1:8" x14ac:dyDescent="0.25">
      <c r="A5" t="s">
        <v>97</v>
      </c>
      <c r="B5" t="s">
        <v>50</v>
      </c>
      <c r="C5" t="s">
        <v>32</v>
      </c>
      <c r="D5" t="s">
        <v>57</v>
      </c>
      <c r="E5" s="4">
        <v>44539.827592592592</v>
      </c>
      <c r="F5" t="s">
        <v>18</v>
      </c>
      <c r="G5" t="s">
        <v>15</v>
      </c>
      <c r="H5" s="11" t="s">
        <v>17</v>
      </c>
    </row>
    <row r="6" spans="1:8" x14ac:dyDescent="0.25">
      <c r="A6" t="s">
        <v>98</v>
      </c>
      <c r="B6" t="s">
        <v>51</v>
      </c>
      <c r="C6" t="s">
        <v>30</v>
      </c>
      <c r="D6" t="s">
        <v>58</v>
      </c>
      <c r="E6" s="4">
        <v>44544.869780092595</v>
      </c>
      <c r="F6" t="s">
        <v>18</v>
      </c>
      <c r="G6" t="s">
        <v>15</v>
      </c>
      <c r="H6" s="11" t="s">
        <v>17</v>
      </c>
    </row>
    <row r="7" spans="1:8" x14ac:dyDescent="0.25">
      <c r="A7" t="s">
        <v>99</v>
      </c>
      <c r="B7" t="s">
        <v>52</v>
      </c>
      <c r="C7" t="s">
        <v>32</v>
      </c>
      <c r="D7" t="s">
        <v>59</v>
      </c>
      <c r="E7" s="4">
        <v>44549.414317129631</v>
      </c>
      <c r="F7" t="s">
        <v>11</v>
      </c>
      <c r="G7" t="s">
        <v>15</v>
      </c>
      <c r="H7" s="11" t="s">
        <v>17</v>
      </c>
    </row>
    <row r="8" spans="1:8" x14ac:dyDescent="0.25">
      <c r="A8" t="s">
        <v>94</v>
      </c>
      <c r="B8" t="s">
        <v>53</v>
      </c>
      <c r="C8" t="s">
        <v>30</v>
      </c>
      <c r="D8" t="s">
        <v>60</v>
      </c>
      <c r="E8" s="4">
        <v>44553.372766203705</v>
      </c>
      <c r="F8" t="s">
        <v>18</v>
      </c>
      <c r="G8" t="s">
        <v>15</v>
      </c>
      <c r="H8" s="11" t="s">
        <v>17</v>
      </c>
    </row>
    <row r="9" spans="1:8" x14ac:dyDescent="0.25">
      <c r="A9" t="s">
        <v>95</v>
      </c>
      <c r="B9" t="s">
        <v>77</v>
      </c>
      <c r="C9" t="s">
        <v>32</v>
      </c>
      <c r="D9" t="s">
        <v>61</v>
      </c>
      <c r="E9" s="4">
        <v>44571.464363425926</v>
      </c>
      <c r="F9" t="s">
        <v>11</v>
      </c>
      <c r="G9" t="s">
        <v>15</v>
      </c>
      <c r="H9" s="11" t="s">
        <v>17</v>
      </c>
    </row>
    <row r="10" spans="1:8" x14ac:dyDescent="0.25">
      <c r="A10" t="s">
        <v>93</v>
      </c>
      <c r="B10" t="s">
        <v>78</v>
      </c>
      <c r="C10" t="s">
        <v>32</v>
      </c>
      <c r="D10" t="s">
        <v>62</v>
      </c>
      <c r="E10" s="4">
        <v>44572.756076388891</v>
      </c>
      <c r="F10" t="s">
        <v>18</v>
      </c>
      <c r="G10" t="s">
        <v>15</v>
      </c>
      <c r="H10" s="11" t="s">
        <v>17</v>
      </c>
    </row>
    <row r="11" spans="1:8" x14ac:dyDescent="0.25">
      <c r="A11" t="s">
        <v>96</v>
      </c>
      <c r="B11" t="s">
        <v>79</v>
      </c>
      <c r="C11" t="s">
        <v>32</v>
      </c>
      <c r="D11" t="s">
        <v>63</v>
      </c>
      <c r="E11" s="4">
        <v>44575.577604166669</v>
      </c>
      <c r="F11" t="s">
        <v>18</v>
      </c>
      <c r="G11" t="s">
        <v>15</v>
      </c>
      <c r="H11" s="11" t="s">
        <v>17</v>
      </c>
    </row>
    <row r="12" spans="1:8" x14ac:dyDescent="0.25">
      <c r="A12" t="s">
        <v>97</v>
      </c>
      <c r="B12" t="s">
        <v>80</v>
      </c>
      <c r="C12" t="s">
        <v>32</v>
      </c>
      <c r="D12" t="s">
        <v>64</v>
      </c>
      <c r="E12" s="4">
        <v>44586.881273148145</v>
      </c>
      <c r="F12" t="s">
        <v>11</v>
      </c>
      <c r="G12" t="s">
        <v>15</v>
      </c>
      <c r="H12" s="11" t="s">
        <v>17</v>
      </c>
    </row>
    <row r="13" spans="1:8" x14ac:dyDescent="0.25">
      <c r="A13" t="s">
        <v>98</v>
      </c>
      <c r="B13" t="s">
        <v>81</v>
      </c>
      <c r="C13" t="s">
        <v>32</v>
      </c>
      <c r="D13" t="s">
        <v>65</v>
      </c>
      <c r="E13" s="4">
        <v>44590.369826388887</v>
      </c>
      <c r="F13" t="s">
        <v>11</v>
      </c>
      <c r="G13" t="s">
        <v>15</v>
      </c>
      <c r="H13" s="11" t="s">
        <v>17</v>
      </c>
    </row>
    <row r="14" spans="1:8" x14ac:dyDescent="0.25">
      <c r="A14" t="s">
        <v>99</v>
      </c>
      <c r="B14" t="s">
        <v>82</v>
      </c>
      <c r="C14" t="s">
        <v>32</v>
      </c>
      <c r="D14" t="s">
        <v>66</v>
      </c>
      <c r="E14" s="4">
        <v>44593.785752314812</v>
      </c>
      <c r="F14" t="s">
        <v>11</v>
      </c>
      <c r="G14" t="s">
        <v>15</v>
      </c>
      <c r="H14" s="11" t="s">
        <v>17</v>
      </c>
    </row>
    <row r="15" spans="1:8" x14ac:dyDescent="0.25">
      <c r="A15" t="s">
        <v>94</v>
      </c>
      <c r="B15" t="s">
        <v>83</v>
      </c>
      <c r="C15" t="s">
        <v>30</v>
      </c>
      <c r="D15" t="s">
        <v>67</v>
      </c>
      <c r="E15" s="4">
        <v>44599.580300925925</v>
      </c>
      <c r="F15" t="s">
        <v>18</v>
      </c>
      <c r="G15" t="s">
        <v>15</v>
      </c>
      <c r="H15" s="11" t="s">
        <v>17</v>
      </c>
    </row>
    <row r="16" spans="1:8" x14ac:dyDescent="0.25">
      <c r="A16" t="s">
        <v>95</v>
      </c>
      <c r="B16" t="s">
        <v>84</v>
      </c>
      <c r="C16" t="s">
        <v>32</v>
      </c>
      <c r="D16" t="s">
        <v>68</v>
      </c>
      <c r="E16" s="4">
        <v>44600.770266203705</v>
      </c>
      <c r="F16" t="s">
        <v>11</v>
      </c>
      <c r="G16" t="s">
        <v>15</v>
      </c>
      <c r="H16" s="11" t="s">
        <v>17</v>
      </c>
    </row>
    <row r="17" spans="1:8" x14ac:dyDescent="0.25">
      <c r="A17" t="s">
        <v>93</v>
      </c>
      <c r="B17" t="s">
        <v>85</v>
      </c>
      <c r="C17" t="s">
        <v>31</v>
      </c>
      <c r="D17" t="s">
        <v>69</v>
      </c>
      <c r="E17" s="4">
        <v>44605.868819444448</v>
      </c>
      <c r="F17" t="s">
        <v>11</v>
      </c>
      <c r="G17" t="s">
        <v>15</v>
      </c>
      <c r="H17" s="11" t="s">
        <v>17</v>
      </c>
    </row>
    <row r="18" spans="1:8" x14ac:dyDescent="0.25">
      <c r="A18" t="s">
        <v>96</v>
      </c>
      <c r="B18" t="s">
        <v>86</v>
      </c>
      <c r="C18" t="s">
        <v>32</v>
      </c>
      <c r="D18" t="s">
        <v>70</v>
      </c>
      <c r="E18" s="4">
        <v>44606.368819444448</v>
      </c>
      <c r="F18" t="s">
        <v>11</v>
      </c>
      <c r="G18" t="s">
        <v>15</v>
      </c>
      <c r="H18" s="11" t="s">
        <v>17</v>
      </c>
    </row>
    <row r="19" spans="1:8" x14ac:dyDescent="0.25">
      <c r="A19" t="s">
        <v>97</v>
      </c>
      <c r="B19" t="s">
        <v>87</v>
      </c>
      <c r="C19" t="s">
        <v>32</v>
      </c>
      <c r="D19" t="s">
        <v>71</v>
      </c>
      <c r="E19" s="4">
        <v>44606.578032407408</v>
      </c>
      <c r="F19" t="s">
        <v>11</v>
      </c>
      <c r="G19" t="s">
        <v>15</v>
      </c>
      <c r="H19" s="11" t="s">
        <v>17</v>
      </c>
    </row>
    <row r="20" spans="1:8" x14ac:dyDescent="0.25">
      <c r="A20" t="s">
        <v>98</v>
      </c>
      <c r="B20" t="s">
        <v>88</v>
      </c>
      <c r="C20" t="s">
        <v>30</v>
      </c>
      <c r="D20" t="s">
        <v>72</v>
      </c>
      <c r="E20" s="4">
        <v>44607.660393518519</v>
      </c>
      <c r="F20" t="s">
        <v>18</v>
      </c>
      <c r="G20" t="s">
        <v>15</v>
      </c>
      <c r="H20" s="11" t="s">
        <v>17</v>
      </c>
    </row>
    <row r="21" spans="1:8" x14ac:dyDescent="0.25">
      <c r="A21" t="s">
        <v>99</v>
      </c>
      <c r="B21" t="s">
        <v>89</v>
      </c>
      <c r="C21" t="s">
        <v>22</v>
      </c>
      <c r="D21" t="s">
        <v>73</v>
      </c>
      <c r="E21" s="4">
        <v>44609.452372685184</v>
      </c>
      <c r="F21" t="s">
        <v>19</v>
      </c>
      <c r="G21" t="s">
        <v>15</v>
      </c>
      <c r="H21" s="11" t="s">
        <v>17</v>
      </c>
    </row>
    <row r="22" spans="1:8" x14ac:dyDescent="0.25">
      <c r="A22" t="s">
        <v>94</v>
      </c>
      <c r="B22" t="s">
        <v>90</v>
      </c>
      <c r="C22" t="s">
        <v>22</v>
      </c>
      <c r="D22" t="s">
        <v>74</v>
      </c>
      <c r="E22" s="4">
        <v>44609.36917824074</v>
      </c>
      <c r="F22" t="s">
        <v>19</v>
      </c>
      <c r="G22" t="s">
        <v>15</v>
      </c>
      <c r="H22" s="11" t="s">
        <v>17</v>
      </c>
    </row>
    <row r="23" spans="1:8" x14ac:dyDescent="0.25">
      <c r="A23" t="s">
        <v>97</v>
      </c>
      <c r="B23" t="s">
        <v>91</v>
      </c>
      <c r="C23" t="s">
        <v>22</v>
      </c>
      <c r="D23" t="s">
        <v>75</v>
      </c>
      <c r="E23" s="4">
        <v>44609.577337962961</v>
      </c>
      <c r="F23" t="s">
        <v>11</v>
      </c>
      <c r="G23" t="s">
        <v>15</v>
      </c>
      <c r="H23" s="11" t="s">
        <v>17</v>
      </c>
    </row>
    <row r="24" spans="1:8" x14ac:dyDescent="0.25">
      <c r="A24" t="s">
        <v>98</v>
      </c>
      <c r="B24" t="s">
        <v>92</v>
      </c>
      <c r="C24" t="s">
        <v>22</v>
      </c>
      <c r="D24" t="s">
        <v>76</v>
      </c>
      <c r="E24" s="4">
        <v>44609.57739583333</v>
      </c>
      <c r="F24" t="s">
        <v>11</v>
      </c>
      <c r="G24" t="s">
        <v>15</v>
      </c>
      <c r="H24" s="11" t="s">
        <v>17</v>
      </c>
    </row>
  </sheetData>
  <phoneticPr fontId="5" type="noConversion"/>
  <pageMargins left="0.7" right="0.7" top="0.75" bottom="0.75" header="0.3" footer="0.3"/>
  <pageSetup orientation="portrait" r:id="rId1"/>
  <headerFooter>
    <oddFooter>&amp;L&amp;1#&amp;"Arial"&amp;7&amp;K000000***Este documento está clasificado como PUBLICO por TELEFÓNICA. ***This document is classified as PUBLIC by TELEFÓNICA.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Binnacle</vt:lpstr>
      <vt:lpstr>TTs data</vt:lpstr>
    </vt:vector>
  </TitlesOfParts>
  <Company>OTECEL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oteceladm</dc:creator>
  <cp:lastModifiedBy>William Armijos</cp:lastModifiedBy>
  <cp:lastPrinted>2022-09-14T21:28:49Z</cp:lastPrinted>
  <dcterms:created xsi:type="dcterms:W3CDTF">2015-03-03T19:44:13Z</dcterms:created>
  <dcterms:modified xsi:type="dcterms:W3CDTF">2026-10-09T01:47:58Z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65bd4d2-aa7c-445f-9ef8-222ebb1d2b43_Enabled">
    <vt:lpwstr>true</vt:lpwstr>
  </property>
  <property fmtid="{D5CDD505-2E9C-101B-9397-08002B2CF9AE}" pid="3" name="MSIP_Label_e65bd4d2-aa7c-445f-9ef8-222ebb1d2b43_SetDate">
    <vt:lpwstr>2023-05-04T00:33:43Z</vt:lpwstr>
  </property>
  <property fmtid="{D5CDD505-2E9C-101B-9397-08002B2CF9AE}" pid="4" name="MSIP_Label_e65bd4d2-aa7c-445f-9ef8-222ebb1d2b43_Method">
    <vt:lpwstr>Privileged</vt:lpwstr>
  </property>
  <property fmtid="{D5CDD505-2E9C-101B-9397-08002B2CF9AE}" pid="5" name="MSIP_Label_e65bd4d2-aa7c-445f-9ef8-222ebb1d2b43_Name">
    <vt:lpwstr>e65bd4d2-aa7c-445f-9ef8-222ebb1d2b43</vt:lpwstr>
  </property>
  <property fmtid="{D5CDD505-2E9C-101B-9397-08002B2CF9AE}" pid="6" name="MSIP_Label_e65bd4d2-aa7c-445f-9ef8-222ebb1d2b43_SiteId">
    <vt:lpwstr>9744600e-3e04-492e-baa1-25ec245c6f10</vt:lpwstr>
  </property>
  <property fmtid="{D5CDD505-2E9C-101B-9397-08002B2CF9AE}" pid="7" name="MSIP_Label_e65bd4d2-aa7c-445f-9ef8-222ebb1d2b43_ActionId">
    <vt:lpwstr>298b6e7a-7d3e-45df-bf33-53dde4850005</vt:lpwstr>
  </property>
  <property fmtid="{D5CDD505-2E9C-101B-9397-08002B2CF9AE}" pid="8" name="MSIP_Label_e65bd4d2-aa7c-445f-9ef8-222ebb1d2b43_ContentBits">
    <vt:lpwstr>2</vt:lpwstr>
  </property>
</Properties>
</file>